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APP" sheetId="1" r:id="rId1"/>
    <sheet name="Planilha2" sheetId="3" r:id="rId2"/>
  </sheets>
  <externalReferences>
    <externalReference r:id="rId3"/>
  </externalReferences>
  <definedNames>
    <definedName name="salario">APP!$F$29</definedName>
    <definedName name="rendimento_carteira">APP!$F$30</definedName>
    <definedName name="sugestao_investimento">APP!$F$31</definedName>
    <definedName name="aporte">APP!$F$35</definedName>
    <definedName name="qtd_anos">APP!$F$36</definedName>
    <definedName name="taxa_mensal">APP!$F$37</definedName>
    <definedName name="patrimonio">APP!$F$38</definedName>
    <definedName name="dividendo_mensais">APP!$F$39</definedName>
    <definedName name="_xlnm._FilterDatabase" localSheetId="0" hidden="1">APP!$B$48:$E$49</definedName>
    <definedName name="aporte" localSheetId="1">[1]APP!$D$17</definedName>
    <definedName name="patrimonio" localSheetId="1">[1]APP!$D$20</definedName>
    <definedName name="qtd_anos" localSheetId="1">[1]APP!$D$18</definedName>
    <definedName name="rendimento_carteira" localSheetId="1">[1]APP!$D$13</definedName>
    <definedName name="salario" localSheetId="1">[1]APP!$D$12</definedName>
    <definedName name="sugestao_investimento" localSheetId="1">[1]APP!$D$14</definedName>
    <definedName name="taxa_mensal" localSheetId="1">[1]APP!$D$19</definedName>
  </definedNames>
  <calcPr calcId="144525"/>
</workbook>
</file>

<file path=xl/sharedStrings.xml><?xml version="1.0" encoding="utf-8"?>
<sst xmlns="http://schemas.openxmlformats.org/spreadsheetml/2006/main" count="72" uniqueCount="35">
  <si>
    <t>Configurações</t>
  </si>
  <si>
    <t>Salário</t>
  </si>
  <si>
    <t>Rendimento Carteira</t>
  </si>
  <si>
    <t>Sugestão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</si>
  <si>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</si>
  <si>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</si>
  <si>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</si>
  <si>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</si>
  <si>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</si>
  <si>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</si>
  <si>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>Cenários</t>
  </si>
  <si>
    <t>Valor arecadado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</si>
  <si>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</si>
  <si>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</si>
  <si>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</si>
  <si>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</si>
  <si>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</si>
  <si>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</si>
  <si>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</si>
  <si>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</si>
  <si>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</si>
  <si>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</si>
  <si>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</si>
  <si>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</si>
  <si>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</si>
  <si>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</si>
  <si>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</si>
  <si>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</si>
  <si>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</si>
  <si>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</si>
  <si>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</si>
  <si>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</si>
  <si>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</si>
  <si>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Moderado-TIJOLO</t>
  </si>
  <si>
    <t>Agressivo</t>
  </si>
</sst>
</file>

<file path=xl/styles.xml><?xml version="1.0" encoding="utf-8"?>
<styleSheet xmlns="http://schemas.openxmlformats.org/spreadsheetml/2006/main">
  <numFmts count="7">
    <numFmt numFmtId="176" formatCode="&quot;R$&quot;#,##0.00;[Red]\-&quot;R$&quot;#,##0.00"/>
    <numFmt numFmtId="177" formatCode="&quot;R$&quot;\ #,##0.00_);[Red]\(&quot;R$&quot;\ #,###.00\)"/>
    <numFmt numFmtId="178" formatCode="_-&quot;R$&quot;\ * #,##0.00_-;\-&quot;R$&quot;\ * #,##0.00_-;_-&quot;R$&quot;\ * &quot;-&quot;??_-;_-@_-"/>
    <numFmt numFmtId="179" formatCode="_-&quot;R$&quot;\ * #,##0_-;\-&quot;R$&quot;\ * #,##0_-;_-&quot;R$&quot;\ * &quot;-&quot;_-;_-@_-"/>
    <numFmt numFmtId="180" formatCode="_-* #,##0.00_-;\-* #,##0.00_-;_-* &quot;-&quot;??_-;_-@_-"/>
    <numFmt numFmtId="181" formatCode="0.0%"/>
    <numFmt numFmtId="182" formatCode="_-* #,##0_-;\-* #,##0_-;_-* &quot;-&quot;_-;_-@_-"/>
  </numFmts>
  <fonts count="24"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0"/>
      <color theme="0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3" fillId="11" borderId="10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3" fillId="21" borderId="16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9" fillId="21" borderId="13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8" borderId="12" applyNumberFormat="0" applyFont="0" applyAlignment="0" applyProtection="0">
      <alignment vertical="center"/>
    </xf>
    <xf numFmtId="0" fontId="22" fillId="34" borderId="16" applyNumberFormat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9" fontId="1" fillId="0" borderId="0" xfId="0" applyNumberFormat="1" applyFont="1" applyFill="1" applyAlignment="1">
      <alignment horizont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9" fontId="1" fillId="0" borderId="1" xfId="0" applyNumberFormat="1" applyFont="1" applyFill="1" applyBorder="1" applyAlignment="1">
      <alignment horizontal="center"/>
    </xf>
    <xf numFmtId="0" fontId="1" fillId="3" borderId="0" xfId="0" applyFont="1" applyFill="1" applyAlignment="1"/>
    <xf numFmtId="0" fontId="1" fillId="3" borderId="0" xfId="0" applyFont="1" applyFill="1" applyAlignment="1">
      <alignment horizontal="center"/>
    </xf>
    <xf numFmtId="9" fontId="1" fillId="3" borderId="0" xfId="0" applyNumberFormat="1" applyFont="1" applyFill="1" applyAlignment="1">
      <alignment horizontal="center"/>
    </xf>
    <xf numFmtId="0" fontId="3" fillId="4" borderId="0" xfId="22" applyFont="1" applyFill="1"/>
    <xf numFmtId="9" fontId="3" fillId="4" borderId="0" xfId="18" applyFont="1" applyFill="1"/>
    <xf numFmtId="0" fontId="0" fillId="0" borderId="0" xfId="0" applyBorder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4" fillId="0" borderId="0" xfId="0" applyFont="1" applyProtection="1">
      <alignment vertical="center"/>
    </xf>
    <xf numFmtId="0" fontId="0" fillId="7" borderId="0" xfId="0" applyFill="1" applyAlignment="1">
      <alignment horizontal="center" vertical="center"/>
    </xf>
    <xf numFmtId="0" fontId="5" fillId="4" borderId="2" xfId="22" applyBorder="1" applyAlignment="1">
      <alignment horizontal="center" vertical="center"/>
    </xf>
    <xf numFmtId="0" fontId="5" fillId="4" borderId="3" xfId="22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176" fontId="0" fillId="7" borderId="0" xfId="0" applyNumberFormat="1" applyFill="1" applyBorder="1" applyAlignment="1">
      <alignment horizontal="center" vertical="center"/>
    </xf>
    <xf numFmtId="177" fontId="0" fillId="7" borderId="1" xfId="0" applyNumberFormat="1" applyFill="1" applyBorder="1" applyAlignment="1">
      <alignment horizontal="center" vertical="center"/>
    </xf>
    <xf numFmtId="176" fontId="0" fillId="7" borderId="0" xfId="0" applyNumberFormat="1" applyFill="1" applyAlignment="1">
      <alignment horizontal="center" vertical="center"/>
    </xf>
    <xf numFmtId="177" fontId="0" fillId="7" borderId="0" xfId="0" applyNumberFormat="1" applyFill="1" applyAlignment="1">
      <alignment horizontal="center" vertical="center"/>
    </xf>
    <xf numFmtId="176" fontId="0" fillId="7" borderId="1" xfId="0" applyNumberFormat="1" applyFill="1" applyBorder="1" applyAlignment="1">
      <alignment horizontal="center" vertical="center"/>
    </xf>
    <xf numFmtId="9" fontId="0" fillId="0" borderId="0" xfId="0" applyNumberFormat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181" fontId="0" fillId="0" borderId="7" xfId="0" applyNumberFormat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177" fontId="0" fillId="7" borderId="8" xfId="0" applyNumberFormat="1" applyFill="1" applyBorder="1" applyAlignment="1">
      <alignment horizontal="center" vertical="center"/>
    </xf>
    <xf numFmtId="177" fontId="0" fillId="7" borderId="7" xfId="0" applyNumberFormat="1" applyFill="1" applyBorder="1" applyAlignment="1">
      <alignment horizontal="center" vertical="center"/>
    </xf>
    <xf numFmtId="0" fontId="5" fillId="4" borderId="6" xfId="22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</cellXfs>
  <cellStyles count="49">
    <cellStyle name="Normal" xfId="0" builtinId="0"/>
    <cellStyle name="40% - Accent6" xfId="1" builtinId="51"/>
    <cellStyle name="60% - Accent5" xfId="2" builtinId="48"/>
    <cellStyle name="Accent6" xfId="3" builtinId="49"/>
    <cellStyle name="40% - Accent5" xfId="4" builtinId="47"/>
    <cellStyle name="20% - Accent5" xfId="5" builtinId="46"/>
    <cellStyle name="60% - Accent4" xfId="6" builtinId="44"/>
    <cellStyle name="Accent5" xfId="7" builtinId="45"/>
    <cellStyle name="40% - Accent4" xfId="8" builtinId="43"/>
    <cellStyle name="60% - Accent3" xfId="9" builtinId="40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Porcentagem" xfId="18" builtinId="5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20% - Accent3" xfId="26" builtinId="38"/>
    <cellStyle name="Moeda" xfId="27" builtinId="4"/>
    <cellStyle name="Check Cell" xfId="28" builtinId="23"/>
    <cellStyle name="Good" xfId="29" builtinId="26"/>
    <cellStyle name="Calculation" xfId="30" builtinId="22"/>
    <cellStyle name="Total" xfId="31" builtinId="25"/>
    <cellStyle name="Output" xfId="32" builtinId="21"/>
    <cellStyle name="60% - Accent6" xfId="33" builtinId="52"/>
    <cellStyle name="Hyperlink seguido" xfId="34" builtinId="9"/>
    <cellStyle name="Note" xfId="35" builtinId="10"/>
    <cellStyle name="Input" xfId="36" builtinId="20"/>
    <cellStyle name="Heading 3" xfId="37" builtinId="18"/>
    <cellStyle name="Heading 1" xfId="38" builtinId="16"/>
    <cellStyle name="CExplanatory Text" xfId="39" builtinId="53"/>
    <cellStyle name="Comma [0]" xfId="40" builtinId="6"/>
    <cellStyle name="20% - Accent6" xfId="41" builtinId="50"/>
    <cellStyle name="Title" xfId="42" builtinId="15"/>
    <cellStyle name="Warning Text" xfId="43" builtinId="11"/>
    <cellStyle name="Currency [0]" xfId="44" builtinId="7"/>
    <cellStyle name="Heading 2" xfId="45" builtinId="17"/>
    <cellStyle name="Comma" xfId="46" builtinId="3"/>
    <cellStyle name="Heading 4" xfId="47" builtinId="19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APP!$B$52:$B$57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APP!$F$52:$F$57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APP!$B$52:$B$57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APP!$G$52:$G$57</c:f>
              <c:numCache>
                <c:formatCode>0%</c:formatCode>
                <c:ptCount val="6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287020</xdr:colOff>
      <xdr:row>0</xdr:row>
      <xdr:rowOff>635</xdr:rowOff>
    </xdr:from>
    <xdr:to>
      <xdr:col>9</xdr:col>
      <xdr:colOff>467995</xdr:colOff>
      <xdr:row>26</xdr:row>
      <xdr:rowOff>26035</xdr:rowOff>
    </xdr:to>
    <xdr:pic>
      <xdr:nvPicPr>
        <xdr:cNvPr id="2" name="Imagem 1" descr="ChatGPT Image 19 de jan. de 2026, 14_11_5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7020" y="635"/>
          <a:ext cx="6353175" cy="4235450"/>
        </a:xfrm>
        <a:prstGeom prst="rect">
          <a:avLst/>
        </a:prstGeom>
      </xdr:spPr>
    </xdr:pic>
    <xdr:clientData/>
  </xdr:twoCellAnchor>
  <xdr:twoCellAnchor>
    <xdr:from>
      <xdr:col>1</xdr:col>
      <xdr:colOff>381000</xdr:colOff>
      <xdr:row>59</xdr:row>
      <xdr:rowOff>41275</xdr:rowOff>
    </xdr:from>
    <xdr:to>
      <xdr:col>8</xdr:col>
      <xdr:colOff>152400</xdr:colOff>
      <xdr:row>76</xdr:row>
      <xdr:rowOff>31750</xdr:rowOff>
    </xdr:to>
    <xdr:graphicFrame>
      <xdr:nvGraphicFramePr>
        <xdr:cNvPr id="6" name="Chart 5"/>
        <xdr:cNvGraphicFramePr/>
      </xdr:nvGraphicFramePr>
      <xdr:xfrm>
        <a:off x="1066800" y="963295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imulador_Investimentos_Fundos_Imobiliarios_Excel_Resolvido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PP"/>
      <sheetName val="Planilha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58"/>
  <sheetViews>
    <sheetView showGridLines="0" tabSelected="1" topLeftCell="A16" workbookViewId="0">
      <selection activeCell="B30" sqref="B30:E30"/>
    </sheetView>
  </sheetViews>
  <sheetFormatPr defaultColWidth="9" defaultRowHeight="12.75"/>
  <cols>
    <col min="11" max="16384" width="9" hidden="1" customWidth="1"/>
  </cols>
  <sheetData>
    <row r="3" spans="2:2">
      <c r="B3" s="14"/>
    </row>
    <row r="28" spans="2:9">
      <c r="B28" s="15" t="s">
        <v>0</v>
      </c>
      <c r="C28" s="16"/>
      <c r="D28" s="16"/>
      <c r="E28" s="16"/>
      <c r="F28" s="16"/>
      <c r="G28" s="16"/>
      <c r="H28" s="16"/>
      <c r="I28" s="44"/>
    </row>
    <row r="29" spans="2:9">
      <c r="B29" s="17" t="s">
        <v>1</v>
      </c>
      <c r="C29" s="18"/>
      <c r="D29" s="18"/>
      <c r="E29" s="18"/>
      <c r="F29" s="32">
        <v>2000</v>
      </c>
      <c r="G29" s="32"/>
      <c r="H29" s="32"/>
      <c r="I29" s="45"/>
    </row>
    <row r="30" spans="2:9">
      <c r="B30" s="17" t="s">
        <v>2</v>
      </c>
      <c r="C30" s="18"/>
      <c r="D30" s="18"/>
      <c r="E30" s="18"/>
      <c r="F30" s="33">
        <v>0.006</v>
      </c>
      <c r="G30" s="33"/>
      <c r="H30" s="33"/>
      <c r="I30" s="46"/>
    </row>
    <row r="31" spans="2:9">
      <c r="B31" s="19" t="s">
        <v>3</v>
      </c>
      <c r="C31" s="20"/>
      <c r="D31" s="20"/>
      <c r="E31" s="20"/>
      <c r="F31" s="34">
        <f>F29*30%</f>
        <v>600</v>
      </c>
      <c r="G31" s="34"/>
      <c r="H31" s="34"/>
      <c r="I31" s="47"/>
    </row>
    <row r="32" spans="2:9">
      <c r="B32" s="14"/>
      <c r="C32" s="14"/>
      <c r="D32" s="14"/>
      <c r="E32" s="14"/>
      <c r="F32" s="14"/>
      <c r="G32" s="14"/>
      <c r="H32" s="14"/>
      <c r="I32" s="14"/>
    </row>
    <row r="34" spans="2:9">
      <c r="B34" s="21" t="s">
        <v>4</v>
      </c>
      <c r="C34" s="22"/>
      <c r="D34" s="22"/>
      <c r="E34" s="22"/>
      <c r="F34" s="22"/>
      <c r="G34" s="22"/>
      <c r="H34" s="22"/>
      <c r="I34" s="48"/>
    </row>
    <row r="35" spans="2:9">
      <c r="B35" s="17" t="s">
        <v>5</v>
      </c>
      <c r="C35" s="18"/>
      <c r="D35" s="18"/>
      <c r="E35" s="18"/>
      <c r="F35" s="35">
        <v>200</v>
      </c>
      <c r="G35" s="35"/>
      <c r="H35" s="35"/>
      <c r="I35" s="45"/>
    </row>
    <row r="36" spans="2:9">
      <c r="B36" s="17" t="s">
        <v>6</v>
      </c>
      <c r="C36" s="18"/>
      <c r="D36" s="18"/>
      <c r="E36" s="18"/>
      <c r="F36" s="18">
        <v>5</v>
      </c>
      <c r="G36" s="18"/>
      <c r="H36" s="18"/>
      <c r="I36" s="49"/>
    </row>
    <row r="37" spans="2:9">
      <c r="B37" s="17" t="s">
        <v>7</v>
      </c>
      <c r="C37" s="18"/>
      <c r="D37" s="18"/>
      <c r="E37" s="18"/>
      <c r="F37" s="36">
        <v>0.01079</v>
      </c>
      <c r="G37" s="18"/>
      <c r="H37" s="18"/>
      <c r="I37" s="49"/>
    </row>
    <row r="38" spans="2:9">
      <c r="B38" s="23" t="s">
        <v>8</v>
      </c>
      <c r="C38" s="24"/>
      <c r="D38" s="24"/>
      <c r="E38" s="24"/>
      <c r="F38" s="37">
        <f>FV(taxa_mensal,qtd_anos*12,aporte*-1)</f>
        <v>16755.3827996975</v>
      </c>
      <c r="G38" s="24"/>
      <c r="H38" s="24"/>
      <c r="I38" s="50"/>
    </row>
    <row r="39" spans="2:9">
      <c r="B39" s="25" t="s">
        <v>9</v>
      </c>
      <c r="C39" s="26"/>
      <c r="D39" s="26"/>
      <c r="E39" s="26"/>
      <c r="F39" s="38">
        <f>patrimonio*rendimento_carteira</f>
        <v>100.532296798185</v>
      </c>
      <c r="G39" s="38"/>
      <c r="H39" s="38"/>
      <c r="I39" s="51"/>
    </row>
    <row r="41" spans="2:9">
      <c r="B41" s="21" t="s">
        <v>10</v>
      </c>
      <c r="C41" s="22"/>
      <c r="D41" s="22"/>
      <c r="E41" s="22"/>
      <c r="F41" s="22" t="s">
        <v>11</v>
      </c>
      <c r="G41" s="22"/>
      <c r="H41" s="22" t="s">
        <v>12</v>
      </c>
      <c r="I41" s="48"/>
    </row>
    <row r="42" spans="1:9">
      <c r="A42" s="27">
        <v>2</v>
      </c>
      <c r="B42" s="23" t="s">
        <v>13</v>
      </c>
      <c r="C42" s="28"/>
      <c r="D42" s="28"/>
      <c r="E42" s="28"/>
      <c r="F42" s="39">
        <f>FV($F$37,$A42*12,$F$35*-1)</f>
        <v>5445.52545952903</v>
      </c>
      <c r="G42" s="28"/>
      <c r="H42" s="40">
        <f>F42*rendimento_carteira</f>
        <v>32.6731527571742</v>
      </c>
      <c r="I42" s="52"/>
    </row>
    <row r="43" spans="1:9">
      <c r="A43" s="27">
        <v>5</v>
      </c>
      <c r="B43" s="23" t="s">
        <v>14</v>
      </c>
      <c r="C43" s="28"/>
      <c r="D43" s="28"/>
      <c r="E43" s="28"/>
      <c r="F43" s="39">
        <f>FV($F$37,$A43*12,$F$35*-1)</f>
        <v>16755.3827996975</v>
      </c>
      <c r="G43" s="28"/>
      <c r="H43" s="40">
        <f>F43*rendimento_carteira</f>
        <v>100.532296798185</v>
      </c>
      <c r="I43" s="52"/>
    </row>
    <row r="44" spans="1:9">
      <c r="A44" s="27">
        <v>10</v>
      </c>
      <c r="B44" s="23" t="s">
        <v>15</v>
      </c>
      <c r="C44" s="28"/>
      <c r="D44" s="28"/>
      <c r="E44" s="28"/>
      <c r="F44" s="39">
        <f>FV($F$37,$A44*12,$F$35*-1)</f>
        <v>48656.8425060342</v>
      </c>
      <c r="G44" s="28"/>
      <c r="H44" s="40">
        <f>F44*rendimento_carteira</f>
        <v>291.941055036205</v>
      </c>
      <c r="I44" s="52"/>
    </row>
    <row r="45" spans="1:9">
      <c r="A45" s="27">
        <v>20</v>
      </c>
      <c r="B45" s="23" t="s">
        <v>16</v>
      </c>
      <c r="C45" s="28"/>
      <c r="D45" s="28"/>
      <c r="E45" s="28"/>
      <c r="F45" s="39">
        <f>FV($F$37,$A45*12,$F$35*-1)</f>
        <v>225039.680019415</v>
      </c>
      <c r="G45" s="28"/>
      <c r="H45" s="40">
        <f>F45*rendimento_carteira</f>
        <v>1350.23808011649</v>
      </c>
      <c r="I45" s="52"/>
    </row>
    <row r="46" spans="1:9">
      <c r="A46" s="27">
        <v>30</v>
      </c>
      <c r="B46" s="25" t="s">
        <v>17</v>
      </c>
      <c r="C46" s="26"/>
      <c r="D46" s="26"/>
      <c r="E46" s="26"/>
      <c r="F46" s="41">
        <f>FV($F$37,$A46*12,$F$35*-1)</f>
        <v>864433.931000934</v>
      </c>
      <c r="G46" s="26"/>
      <c r="H46" s="38">
        <f>F46*rendimento_carteira</f>
        <v>5186.6035860056</v>
      </c>
      <c r="I46" s="51"/>
    </row>
    <row r="48" ht="15" spans="2:9">
      <c r="B48" s="29" t="s">
        <v>18</v>
      </c>
      <c r="C48" s="30"/>
      <c r="D48" s="30"/>
      <c r="E48" s="30"/>
      <c r="F48" s="30" t="s">
        <v>19</v>
      </c>
      <c r="G48" s="30"/>
      <c r="H48" s="30"/>
      <c r="I48" s="53"/>
    </row>
    <row r="49" ht="13.5" spans="2:9">
      <c r="B49" s="25" t="s">
        <v>20</v>
      </c>
      <c r="C49" s="26"/>
      <c r="D49" s="26"/>
      <c r="E49" s="26"/>
      <c r="F49" s="26">
        <f>aporte</f>
        <v>200</v>
      </c>
      <c r="G49" s="26"/>
      <c r="H49" s="26"/>
      <c r="I49" s="54"/>
    </row>
    <row r="51" spans="2:9">
      <c r="B51" s="31" t="s">
        <v>21</v>
      </c>
      <c r="C51" s="31"/>
      <c r="D51" s="31"/>
      <c r="E51" s="31"/>
      <c r="F51" s="31" t="s">
        <v>22</v>
      </c>
      <c r="G51" s="31"/>
      <c r="H51" s="31" t="s">
        <v>23</v>
      </c>
      <c r="I51" s="31"/>
    </row>
    <row r="52" spans="2:9">
      <c r="B52" s="18" t="s">
        <v>24</v>
      </c>
      <c r="C52" s="18"/>
      <c r="D52" s="18"/>
      <c r="E52" s="18"/>
      <c r="F52" s="42">
        <f>VLOOKUP($F$48&amp;"-"&amp;B52,Planilha2!$A:$D,4,FALSE)</f>
        <v>0.32</v>
      </c>
      <c r="G52" s="42"/>
      <c r="H52" s="18">
        <f>F52*$F$49</f>
        <v>64</v>
      </c>
      <c r="I52" s="18"/>
    </row>
    <row r="53" spans="2:9">
      <c r="B53" s="18" t="s">
        <v>25</v>
      </c>
      <c r="C53" s="18"/>
      <c r="D53" s="18"/>
      <c r="E53" s="18"/>
      <c r="F53" s="42">
        <f>VLOOKUP($F$48&amp;"-"&amp;B53,Planilha2!$A:$D,4,FALSE)</f>
        <v>0.35</v>
      </c>
      <c r="G53" s="42"/>
      <c r="H53" s="18">
        <f>F53*$F$49</f>
        <v>70</v>
      </c>
      <c r="I53" s="18"/>
    </row>
    <row r="54" spans="2:9">
      <c r="B54" s="18" t="s">
        <v>26</v>
      </c>
      <c r="C54" s="18"/>
      <c r="D54" s="18"/>
      <c r="E54" s="18"/>
      <c r="F54" s="42">
        <f>VLOOKUP($F$48&amp;"-"&amp;B54,Planilha2!$A:$D,4,FALSE)</f>
        <v>0.08</v>
      </c>
      <c r="G54" s="42"/>
      <c r="H54" s="18">
        <f>F54*$F$49</f>
        <v>16</v>
      </c>
      <c r="I54" s="18"/>
    </row>
    <row r="55" spans="2:9">
      <c r="B55" s="18" t="s">
        <v>27</v>
      </c>
      <c r="C55" s="18"/>
      <c r="D55" s="18"/>
      <c r="E55" s="18"/>
      <c r="F55" s="42">
        <f>VLOOKUP($F$48&amp;"-"&amp;B55,Planilha2!$A:$D,4,FALSE)</f>
        <v>0.05</v>
      </c>
      <c r="G55" s="42"/>
      <c r="H55" s="18">
        <f>F55*$F$49</f>
        <v>10</v>
      </c>
      <c r="I55" s="18"/>
    </row>
    <row r="56" spans="2:9">
      <c r="B56" s="18" t="s">
        <v>28</v>
      </c>
      <c r="C56" s="18"/>
      <c r="D56" s="18"/>
      <c r="E56" s="18"/>
      <c r="F56" s="42">
        <f>VLOOKUP($F$48&amp;"-"&amp;B56,Planilha2!$A:$D,4,FALSE)</f>
        <v>0.1</v>
      </c>
      <c r="G56" s="42"/>
      <c r="H56" s="18">
        <f>F56*$F$49</f>
        <v>20</v>
      </c>
      <c r="I56" s="18"/>
    </row>
    <row r="57" spans="2:9">
      <c r="B57" s="18" t="s">
        <v>29</v>
      </c>
      <c r="C57" s="18"/>
      <c r="D57" s="18"/>
      <c r="E57" s="18"/>
      <c r="F57" s="42">
        <f>VLOOKUP($F$48&amp;"-"&amp;B57,Planilha2!$A:$D,4,FALSE)</f>
        <v>0.1</v>
      </c>
      <c r="G57" s="42"/>
      <c r="H57" s="18">
        <f>F57*$F$49</f>
        <v>20</v>
      </c>
      <c r="I57" s="18"/>
    </row>
    <row r="58" spans="2:9">
      <c r="B58" s="31"/>
      <c r="C58" s="31"/>
      <c r="D58" s="31"/>
      <c r="E58" s="31"/>
      <c r="F58" s="31"/>
      <c r="G58" s="31"/>
      <c r="H58" s="43">
        <f>SUM(H52:I57)</f>
        <v>200</v>
      </c>
      <c r="I58" s="43"/>
    </row>
  </sheetData>
  <mergeCells count="64">
    <mergeCell ref="B28:I28"/>
    <mergeCell ref="B29:E29"/>
    <mergeCell ref="F29:I29"/>
    <mergeCell ref="B30:E30"/>
    <mergeCell ref="F30:I30"/>
    <mergeCell ref="B31:E31"/>
    <mergeCell ref="F31:I31"/>
    <mergeCell ref="B34:I34"/>
    <mergeCell ref="B35:E35"/>
    <mergeCell ref="F35:I35"/>
    <mergeCell ref="B36:E36"/>
    <mergeCell ref="F36:I36"/>
    <mergeCell ref="B37:E37"/>
    <mergeCell ref="F37:I37"/>
    <mergeCell ref="B38:E38"/>
    <mergeCell ref="F38:I38"/>
    <mergeCell ref="B39:E39"/>
    <mergeCell ref="F39:I39"/>
    <mergeCell ref="B41:E41"/>
    <mergeCell ref="F41:G41"/>
    <mergeCell ref="H41:I41"/>
    <mergeCell ref="B42:E42"/>
    <mergeCell ref="F42:G42"/>
    <mergeCell ref="H42:I42"/>
    <mergeCell ref="B43:E43"/>
    <mergeCell ref="F43:G43"/>
    <mergeCell ref="H43:I43"/>
    <mergeCell ref="B44:E44"/>
    <mergeCell ref="F44:G44"/>
    <mergeCell ref="H44:I44"/>
    <mergeCell ref="B45:E45"/>
    <mergeCell ref="F45:G45"/>
    <mergeCell ref="H45:I45"/>
    <mergeCell ref="B46:E46"/>
    <mergeCell ref="F46:G46"/>
    <mergeCell ref="H46:I46"/>
    <mergeCell ref="B48:E48"/>
    <mergeCell ref="F48:I48"/>
    <mergeCell ref="B49:E49"/>
    <mergeCell ref="F49:I49"/>
    <mergeCell ref="B51:E51"/>
    <mergeCell ref="F51:G51"/>
    <mergeCell ref="H51:I51"/>
    <mergeCell ref="B52:E52"/>
    <mergeCell ref="F52:G52"/>
    <mergeCell ref="H52:I52"/>
    <mergeCell ref="B53:E53"/>
    <mergeCell ref="F53:G53"/>
    <mergeCell ref="H53:I53"/>
    <mergeCell ref="B54:E54"/>
    <mergeCell ref="F54:G54"/>
    <mergeCell ref="H54:I54"/>
    <mergeCell ref="B55:E55"/>
    <mergeCell ref="F55:G55"/>
    <mergeCell ref="H55:I55"/>
    <mergeCell ref="B56:E56"/>
    <mergeCell ref="F56:G56"/>
    <mergeCell ref="H56:I56"/>
    <mergeCell ref="B57:E57"/>
    <mergeCell ref="F57:G57"/>
    <mergeCell ref="H57:I57"/>
    <mergeCell ref="B58:E58"/>
    <mergeCell ref="F58:G58"/>
    <mergeCell ref="H58:I58"/>
  </mergeCells>
  <dataValidations count="1">
    <dataValidation type="list" allowBlank="1" showInputMessage="1" showErrorMessage="1" sqref="F48:I48">
      <formula1>"Conservador;Moderado;Agressivo"</formula1>
    </dataValidation>
  </dataValidation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21"/>
  <sheetViews>
    <sheetView showGridLines="0" zoomScale="115" zoomScaleNormal="115" workbookViewId="0">
      <selection activeCell="A2" sqref="A2:D20"/>
    </sheetView>
  </sheetViews>
  <sheetFormatPr defaultColWidth="16.875" defaultRowHeight="15" outlineLevelCol="6"/>
  <cols>
    <col min="1" max="1" width="35.25" style="1" customWidth="1"/>
    <col min="2" max="2" width="13.875" style="1" customWidth="1"/>
    <col min="3" max="3" width="21.375" style="1" customWidth="1"/>
    <col min="4" max="4" width="5.875" style="1" customWidth="1"/>
    <col min="5" max="5" width="16.875" style="1"/>
    <col min="6" max="6" width="18.625" style="1" customWidth="1"/>
    <col min="7" max="8" width="5.875" style="1" customWidth="1"/>
    <col min="9" max="16384" width="16.875" style="1"/>
  </cols>
  <sheetData>
    <row r="2" spans="1:4">
      <c r="A2" s="2" t="s">
        <v>30</v>
      </c>
      <c r="B2" s="2" t="s">
        <v>18</v>
      </c>
      <c r="C2" s="3" t="s">
        <v>21</v>
      </c>
      <c r="D2" s="3" t="s">
        <v>31</v>
      </c>
    </row>
    <row r="3" spans="1:7">
      <c r="A3" s="1" t="str">
        <f t="shared" ref="A3:A20" si="0">B3&amp;"-"&amp;C3</f>
        <v>Conservador-PAPEL</v>
      </c>
      <c r="B3" s="1" t="s">
        <v>32</v>
      </c>
      <c r="C3" s="4" t="s">
        <v>24</v>
      </c>
      <c r="D3" s="5">
        <v>0.3</v>
      </c>
      <c r="G3" s="1" t="s">
        <v>31</v>
      </c>
    </row>
    <row r="4" spans="1:7">
      <c r="A4" s="1" t="str">
        <f t="shared" si="0"/>
        <v>Conservador-TIJOLO</v>
      </c>
      <c r="B4" s="1" t="s">
        <v>32</v>
      </c>
      <c r="C4" s="4" t="s">
        <v>25</v>
      </c>
      <c r="D4" s="5">
        <v>0.5</v>
      </c>
      <c r="F4" s="12" t="s">
        <v>33</v>
      </c>
      <c r="G4" s="13">
        <f>VLOOKUP(F4,$A:$D,4,FALSE)</f>
        <v>0.35</v>
      </c>
    </row>
    <row r="5" spans="1:4">
      <c r="A5" s="1" t="str">
        <f t="shared" si="0"/>
        <v>Conservador-HÍBRIDOS</v>
      </c>
      <c r="B5" s="1" t="s">
        <v>32</v>
      </c>
      <c r="C5" s="4" t="s">
        <v>26</v>
      </c>
      <c r="D5" s="5">
        <v>0.1</v>
      </c>
    </row>
    <row r="6" spans="1:4">
      <c r="A6" s="1" t="str">
        <f t="shared" si="0"/>
        <v>Conservador-FOFs</v>
      </c>
      <c r="B6" s="1" t="s">
        <v>32</v>
      </c>
      <c r="C6" s="4" t="s">
        <v>27</v>
      </c>
      <c r="D6" s="5">
        <v>0.1</v>
      </c>
    </row>
    <row r="7" spans="1:4">
      <c r="A7" s="1" t="str">
        <f t="shared" si="0"/>
        <v>Conservador-DESENVOLVIMENTO</v>
      </c>
      <c r="B7" s="1" t="s">
        <v>32</v>
      </c>
      <c r="C7" s="4" t="s">
        <v>28</v>
      </c>
      <c r="D7" s="5">
        <v>0</v>
      </c>
    </row>
    <row r="8" ht="15.75" spans="1:4">
      <c r="A8" s="6" t="str">
        <f t="shared" si="0"/>
        <v>Conservador-HOTELARIAS</v>
      </c>
      <c r="B8" s="6" t="s">
        <v>32</v>
      </c>
      <c r="C8" s="7" t="s">
        <v>29</v>
      </c>
      <c r="D8" s="8">
        <v>0</v>
      </c>
    </row>
    <row r="9" spans="1:4">
      <c r="A9" s="1" t="str">
        <f t="shared" si="0"/>
        <v>Moderado-PAPEL</v>
      </c>
      <c r="B9" s="1" t="s">
        <v>19</v>
      </c>
      <c r="C9" s="4" t="s">
        <v>24</v>
      </c>
      <c r="D9" s="5">
        <v>0.32</v>
      </c>
    </row>
    <row r="10" spans="1:4">
      <c r="A10" s="9" t="str">
        <f t="shared" si="0"/>
        <v>Moderado-TIJOLO</v>
      </c>
      <c r="B10" s="9" t="s">
        <v>19</v>
      </c>
      <c r="C10" s="10" t="s">
        <v>25</v>
      </c>
      <c r="D10" s="11">
        <v>0.35</v>
      </c>
    </row>
    <row r="11" spans="1:4">
      <c r="A11" s="1" t="str">
        <f t="shared" si="0"/>
        <v>Moderado-HÍBRIDOS</v>
      </c>
      <c r="B11" s="1" t="s">
        <v>19</v>
      </c>
      <c r="C11" s="4" t="s">
        <v>26</v>
      </c>
      <c r="D11" s="5">
        <v>0.08</v>
      </c>
    </row>
    <row r="12" spans="1:4">
      <c r="A12" s="1" t="str">
        <f t="shared" si="0"/>
        <v>Moderado-FOFs</v>
      </c>
      <c r="B12" s="1" t="s">
        <v>19</v>
      </c>
      <c r="C12" s="4" t="s">
        <v>27</v>
      </c>
      <c r="D12" s="5">
        <v>0.05</v>
      </c>
    </row>
    <row r="13" spans="1:4">
      <c r="A13" s="1" t="str">
        <f t="shared" si="0"/>
        <v>Moderado-DESENVOLVIMENTO</v>
      </c>
      <c r="B13" s="1" t="s">
        <v>19</v>
      </c>
      <c r="C13" s="4" t="s">
        <v>28</v>
      </c>
      <c r="D13" s="5">
        <v>0.1</v>
      </c>
    </row>
    <row r="14" ht="15.75" spans="1:4">
      <c r="A14" s="6" t="str">
        <f t="shared" si="0"/>
        <v>Moderado-HOTELARIAS</v>
      </c>
      <c r="B14" s="6" t="s">
        <v>19</v>
      </c>
      <c r="C14" s="7" t="s">
        <v>29</v>
      </c>
      <c r="D14" s="8">
        <v>0.1</v>
      </c>
    </row>
    <row r="15" spans="1:4">
      <c r="A15" s="1" t="str">
        <f t="shared" si="0"/>
        <v>Agressivo-PAPEL</v>
      </c>
      <c r="B15" s="1" t="s">
        <v>34</v>
      </c>
      <c r="C15" s="4" t="s">
        <v>24</v>
      </c>
      <c r="D15" s="5">
        <v>0.5</v>
      </c>
    </row>
    <row r="16" spans="1:4">
      <c r="A16" s="1" t="str">
        <f t="shared" si="0"/>
        <v>Agressivo-TIJOLO</v>
      </c>
      <c r="B16" s="1" t="s">
        <v>34</v>
      </c>
      <c r="C16" s="4" t="s">
        <v>25</v>
      </c>
      <c r="D16" s="5">
        <v>0.1</v>
      </c>
    </row>
    <row r="17" spans="1:4">
      <c r="A17" s="1" t="str">
        <f t="shared" si="0"/>
        <v>Agressivo-HÍBRIDOS</v>
      </c>
      <c r="B17" s="1" t="s">
        <v>34</v>
      </c>
      <c r="C17" s="4" t="s">
        <v>26</v>
      </c>
      <c r="D17" s="5">
        <v>0.05</v>
      </c>
    </row>
    <row r="18" spans="1:4">
      <c r="A18" s="1" t="str">
        <f t="shared" si="0"/>
        <v>Agressivo-FOFs</v>
      </c>
      <c r="B18" s="1" t="s">
        <v>34</v>
      </c>
      <c r="C18" s="4" t="s">
        <v>27</v>
      </c>
      <c r="D18" s="5">
        <v>0.05</v>
      </c>
    </row>
    <row r="19" spans="1:4">
      <c r="A19" s="1" t="str">
        <f t="shared" si="0"/>
        <v>Agressivo-DESENVOLVIMENTO</v>
      </c>
      <c r="B19" s="1" t="s">
        <v>34</v>
      </c>
      <c r="C19" s="4" t="s">
        <v>28</v>
      </c>
      <c r="D19" s="5">
        <v>0.2</v>
      </c>
    </row>
    <row r="20" spans="1:4">
      <c r="A20" s="1" t="str">
        <f t="shared" si="0"/>
        <v>Agressivo-HOTELARIAS</v>
      </c>
      <c r="B20" s="1" t="s">
        <v>34</v>
      </c>
      <c r="C20" s="4" t="s">
        <v>29</v>
      </c>
      <c r="D20" s="5">
        <v>0.1</v>
      </c>
    </row>
    <row r="21" spans="4:4">
      <c r="D21" s="4"/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APP</vt:lpstr>
      <vt:lpstr>Planilha2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will</cp:lastModifiedBy>
  <dcterms:created xsi:type="dcterms:W3CDTF">2026-01-18T18:45:00Z</dcterms:created>
  <dcterms:modified xsi:type="dcterms:W3CDTF">2026-01-28T11:21:26Z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1046-11.1.0.11723</vt:lpwstr>
  </property>
</Properties>
</file>